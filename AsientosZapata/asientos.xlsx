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uno" sheetId="1" state="visible" r:id="rId1"/>
    <sheet name="tres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<sst xmlns="http://schemas.openxmlformats.org/spreadsheetml/2006/main" count="25" uniqueCount="25">
  <si>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 xml:space="preserve">Datos cimentación</t>
  </si>
  <si>
    <t>B=</t>
  </si>
  <si>
    <t>m</t>
  </si>
  <si>
    <t>L=</t>
  </si>
  <si>
    <t>q=</t>
  </si>
  <si>
    <t>kPa</t>
  </si>
  <si>
    <t xml:space="preserve">Datos del terreno</t>
  </si>
  <si>
    <t>zi</t>
  </si>
  <si>
    <t>zf</t>
  </si>
  <si>
    <t>Potencia</t>
  </si>
  <si>
    <t xml:space="preserve">E kPa</t>
  </si>
  <si>
    <t>nu</t>
  </si>
  <si>
    <t>UG-01</t>
  </si>
  <si>
    <t>i</t>
  </si>
  <si>
    <t>i+1</t>
  </si>
  <si>
    <t>n</t>
  </si>
  <si>
    <r>
      <rPr>
        <sz val="11"/>
        <color theme="1"/>
        <rFont val="Standard Symbols PS"/>
      </rPr>
      <t>f</t>
    </r>
    <r>
      <rPr>
        <sz val="11"/>
        <color theme="1"/>
        <rFont val="Calibri"/>
        <scheme val="minor"/>
      </rPr>
      <t>1</t>
    </r>
  </si>
  <si>
    <r>
      <rPr>
        <sz val="11"/>
        <color theme="1"/>
        <rFont val="Symbol"/>
      </rPr>
      <t>f</t>
    </r>
    <r>
      <rPr>
        <sz val="11"/>
        <color theme="1"/>
        <rFont val="Calibri"/>
        <scheme val="minor"/>
      </rPr>
      <t>2</t>
    </r>
  </si>
  <si>
    <r>
      <rPr>
        <sz val="11"/>
        <color theme="1"/>
        <rFont val="Symbol"/>
      </rPr>
      <t>f</t>
    </r>
    <r>
      <rPr>
        <sz val="11"/>
        <color theme="1"/>
        <rFont val="Calibri"/>
        <scheme val="minor"/>
      </rPr>
      <t>1</t>
    </r>
  </si>
  <si>
    <t>si</t>
  </si>
  <si>
    <t>si+1</t>
  </si>
  <si>
    <t>s</t>
  </si>
  <si>
    <t>mm</t>
  </si>
  <si>
    <t>UG-02</t>
  </si>
  <si>
    <t>UG-03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</si>
</sst>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 vertical="center"/>
    </xf>
    <xf fontId="0" fillId="0" borderId="0" numFmtId="164" xfId="0" applyNumberFormat="1" applyAlignment="1">
      <alignment horizontal="center" vertical="center"/>
    </xf>
    <xf fontId="0" fillId="0" borderId="0" numFmtId="164" xfId="0" applyNumberFormat="1"/>
    <xf fontId="0" fillId="0" borderId="0" numFmtId="2" xfId="0" applyNumberFormat="1" applyAlignment="1">
      <alignment horizontal="center"/>
    </xf>
    <xf fontId="0" fillId="0" borderId="0" numFmtId="165" xfId="0" applyNumberFormat="1" applyAlignment="1">
      <alignment horizontal="center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9</xdr:col>
      <xdr:colOff>99678</xdr:colOff>
      <xdr:row>0</xdr:row>
      <xdr:rowOff>28573</xdr:rowOff>
    </xdr:from>
    <xdr:to>
      <xdr:col>17</xdr:col>
      <xdr:colOff>527639</xdr:colOff>
      <xdr:row>15</xdr:row>
      <xdr:rowOff>66310</xdr:rowOff>
    </xdr:to>
    <xdr:pic>
      <xdr:nvPicPr>
        <xdr:cNvPr id="1569801282" name="Imagen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5557503" y="28573"/>
          <a:ext cx="5304759" cy="2752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9</xdr:col>
      <xdr:colOff>99679</xdr:colOff>
      <xdr:row>0</xdr:row>
      <xdr:rowOff>28574</xdr:rowOff>
    </xdr:from>
    <xdr:to>
      <xdr:col>17</xdr:col>
      <xdr:colOff>527639</xdr:colOff>
      <xdr:row>15</xdr:row>
      <xdr:rowOff>66311</xdr:rowOff>
    </xdr:to>
    <xdr:pic>
      <xdr:nvPicPr>
        <xdr:cNvPr id="2" name="Imagen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5557504" y="28574"/>
          <a:ext cx="5304760" cy="2752361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">
    <outlinePr applyStyles="0" summaryBelow="1" summaryRight="1" showOutlineSymbols="1"/>
    <pageSetUpPr autoPageBreaks="1" fitToPage="0"/>
  </sheetPr>
  <sheetViews>
    <sheetView zoomScale="100" workbookViewId="0">
      <selection activeCell="B5" activeCellId="0" sqref="B5"/>
    </sheetView>
  </sheetViews>
  <sheetFormatPr baseColWidth="10" defaultColWidth="9.140625" defaultRowHeight="14.25"/>
  <cols>
    <col bestFit="1" customWidth="1" min="4" max="4" width="8.7109375"/>
  </cols>
  <sheetData>
    <row r="2" ht="14.25">
      <c r="A2" t="s">
        <v>0</v>
      </c>
    </row>
    <row r="3">
      <c r="A3" t="s">
        <v>1</v>
      </c>
      <c r="B3">
        <v>2</v>
      </c>
      <c r="C3" t="s">
        <v>2</v>
      </c>
    </row>
    <row r="4">
      <c r="A4" t="s">
        <v>3</v>
      </c>
      <c r="B4">
        <v>2.5</v>
      </c>
      <c r="C4" t="s">
        <v>2</v>
      </c>
    </row>
    <row r="5">
      <c r="A5" t="s">
        <v>4</v>
      </c>
      <c r="B5">
        <v>150</v>
      </c>
      <c r="C5" t="s">
        <v>5</v>
      </c>
    </row>
    <row r="7" ht="14.25">
      <c r="F7" s="1"/>
      <c r="H7" s="1"/>
    </row>
    <row r="8" ht="14.25">
      <c r="A8" t="s">
        <v>6</v>
      </c>
      <c r="F8" s="1"/>
      <c r="H8" s="1"/>
    </row>
    <row r="9">
      <c r="B9" s="2" t="s">
        <v>2</v>
      </c>
      <c r="C9" s="2"/>
      <c r="D9" s="2"/>
    </row>
    <row r="10">
      <c r="B10" s="3" t="s">
        <v>7</v>
      </c>
      <c r="C10" s="3" t="s">
        <v>8</v>
      </c>
      <c r="D10" s="3" t="s">
        <v>9</v>
      </c>
      <c r="E10" s="3" t="s">
        <v>10</v>
      </c>
      <c r="F10" s="3" t="s">
        <v>11</v>
      </c>
    </row>
    <row r="11">
      <c r="A11" t="s">
        <v>12</v>
      </c>
      <c r="B11" s="4">
        <v>1.0000000000000001e-05</v>
      </c>
      <c r="C11" s="4">
        <f>B3*2</f>
        <v>4</v>
      </c>
      <c r="D11" s="4">
        <f>C11-B11</f>
        <v>3.9999899999999999</v>
      </c>
      <c r="E11" s="5">
        <v>10000</v>
      </c>
      <c r="F11" s="4">
        <v>0.29999999999999999</v>
      </c>
    </row>
    <row r="12">
      <c r="B12" s="4"/>
      <c r="C12" s="4"/>
      <c r="D12" s="4"/>
      <c r="E12" s="5"/>
      <c r="F12" s="4"/>
    </row>
    <row r="13">
      <c r="B13" s="4"/>
      <c r="C13" s="4"/>
      <c r="D13" s="4"/>
      <c r="E13" s="5"/>
      <c r="F13" s="4"/>
    </row>
    <row r="19">
      <c r="B19" s="3" t="s">
        <v>13</v>
      </c>
      <c r="C19" s="3" t="s">
        <v>14</v>
      </c>
    </row>
    <row r="20">
      <c r="A20" s="3" t="s">
        <v>15</v>
      </c>
      <c r="B20" s="2" t="s">
        <v>2</v>
      </c>
      <c r="C20" s="2" t="s">
        <v>2</v>
      </c>
      <c r="D20" s="2" t="s">
        <v>16</v>
      </c>
      <c r="E20" s="2" t="s">
        <v>17</v>
      </c>
      <c r="F20" s="2" t="s">
        <v>18</v>
      </c>
      <c r="G20" s="2" t="s">
        <v>17</v>
      </c>
      <c r="H20" s="2" t="s">
        <v>19</v>
      </c>
      <c r="I20" s="2" t="s">
        <v>20</v>
      </c>
      <c r="J20" s="2" t="s">
        <v>21</v>
      </c>
    </row>
    <row r="21">
      <c r="A21" s="3">
        <f>$B$4/$B$3</f>
        <v>1.25</v>
      </c>
      <c r="B21" s="6">
        <f>2*B11/$B$3</f>
        <v>1.0000000000000001e-05</v>
      </c>
      <c r="C21" s="6">
        <f>2*C11/$B$3</f>
        <v>4</v>
      </c>
      <c r="D21" s="7">
        <f>(1/PI())*(LN((SQRT(1+A21^2+B21^2)+A21)/(SQRT(1+A21^2+B21^2)-A21))+A21*LN((SQRT(1+A21^2+B21^2)+1)/(SQRT(1+A21^2+B21^2))-1))</f>
        <v>0.47971573691567909</v>
      </c>
      <c r="E21" s="2">
        <f>(B21/PI())*ATAN(RADIANS(A21/(B21*SQRT(1+A21^2+B21^2))))</f>
        <v>4.9976644207628139e-06</v>
      </c>
      <c r="F21" s="7">
        <f>(1/PI())*(LN((SQRT(1+A21^2+C21^2)+A21)/(SQRT(1+A21^2+C21^2)-A21))+A21*LN((SQRT(1+A21^2+C21^2)+1)/(SQRT(1+A21^2+C21^2))-1))</f>
        <v>-0.39097986601660961</v>
      </c>
      <c r="G21" s="2">
        <f>(C21/PI())*ATAN(RADIANS(A21/(C21*SQRT(1+A21^2+C21^2))))</f>
        <v>0.0016118292867126403</v>
      </c>
      <c r="H21">
        <f>($B$5*$B$3/E11)*((1-F11^2)*D21-(1-F11-2*F11^2)*E21)</f>
        <v>0.013096161654233076</v>
      </c>
      <c r="I21" s="8">
        <f>($B$5*$B$3/E11)*((1-F11^2)*F21-(1-F11-2*F11^2)*G21)</f>
        <v>-0.010698894879126159</v>
      </c>
      <c r="J21">
        <f>I21-H21</f>
        <v>-0.023795056533359234</v>
      </c>
    </row>
    <row r="22">
      <c r="A22" s="3"/>
      <c r="B22" s="6"/>
      <c r="C22" s="6"/>
      <c r="D22" s="7"/>
      <c r="E22" s="2"/>
      <c r="F22" s="7"/>
      <c r="G22" s="2"/>
      <c r="I22" s="8"/>
    </row>
    <row r="23">
      <c r="A23" s="3"/>
      <c r="B23" s="6"/>
      <c r="C23" s="6"/>
      <c r="D23" s="7"/>
      <c r="E23" s="2"/>
      <c r="F23" s="7"/>
      <c r="G23" s="2"/>
      <c r="I23" s="8"/>
    </row>
    <row r="24">
      <c r="A24" s="2"/>
      <c r="B24" s="2"/>
      <c r="C24" s="2"/>
      <c r="D24" s="2"/>
      <c r="E24" s="2"/>
    </row>
    <row r="25" ht="14.25">
      <c r="J25">
        <f>SUM(J21:J23)</f>
        <v>-0.023795056533359234</v>
      </c>
      <c r="K25" t="s">
        <v>2</v>
      </c>
    </row>
    <row r="26" ht="14.25">
      <c r="J26">
        <f>J25*1000</f>
        <v>-23.795056533359233</v>
      </c>
      <c r="K26" t="s">
        <v>22</v>
      </c>
    </row>
  </sheetData>
  <mergeCells count="1">
    <mergeCell ref="B9:D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">
    <outlinePr applyStyles="0" summaryBelow="1" summaryRight="1" showOutlineSymbols="1"/>
    <pageSetUpPr autoPageBreaks="1" fitToPage="0"/>
  </sheetPr>
  <sheetViews>
    <sheetView zoomScale="100" workbookViewId="0">
      <selection activeCell="B5" activeCellId="0" sqref="B5"/>
    </sheetView>
  </sheetViews>
  <sheetFormatPr baseColWidth="10" defaultColWidth="9.140625" defaultRowHeight="14.25"/>
  <cols>
    <col bestFit="1" customWidth="1" min="4" max="4" width="8.7109375"/>
  </cols>
  <sheetData>
    <row r="2" ht="14.25">
      <c r="A2" t="s">
        <v>0</v>
      </c>
    </row>
    <row r="3">
      <c r="A3" t="s">
        <v>1</v>
      </c>
      <c r="B3">
        <v>2</v>
      </c>
      <c r="C3" t="s">
        <v>2</v>
      </c>
    </row>
    <row r="4">
      <c r="A4" t="s">
        <v>3</v>
      </c>
      <c r="B4">
        <v>2.5</v>
      </c>
      <c r="C4" t="s">
        <v>2</v>
      </c>
    </row>
    <row r="5">
      <c r="A5" t="s">
        <v>4</v>
      </c>
      <c r="B5">
        <v>150</v>
      </c>
      <c r="C5" t="s">
        <v>5</v>
      </c>
    </row>
    <row r="7" ht="14.25">
      <c r="F7" s="1"/>
      <c r="H7" s="1"/>
    </row>
    <row r="8" ht="14.25">
      <c r="A8" t="s">
        <v>6</v>
      </c>
      <c r="F8" s="1"/>
      <c r="H8" s="1"/>
    </row>
    <row r="9">
      <c r="B9" s="2" t="s">
        <v>2</v>
      </c>
      <c r="C9" s="2"/>
      <c r="D9" s="2"/>
    </row>
    <row r="10">
      <c r="B10" s="3" t="s">
        <v>7</v>
      </c>
      <c r="C10" s="3" t="s">
        <v>8</v>
      </c>
      <c r="D10" s="3" t="s">
        <v>9</v>
      </c>
      <c r="E10" s="3" t="s">
        <v>10</v>
      </c>
      <c r="F10" s="3" t="s">
        <v>11</v>
      </c>
    </row>
    <row r="11">
      <c r="A11" t="s">
        <v>12</v>
      </c>
      <c r="B11" s="4">
        <v>1.0000000000000001e-05</v>
      </c>
      <c r="C11" s="4">
        <v>1.5</v>
      </c>
      <c r="D11" s="4">
        <f t="shared" ref="D11:D13" si="0">C11-B11</f>
        <v>1.4999899999999999</v>
      </c>
      <c r="E11" s="5">
        <v>10000</v>
      </c>
      <c r="F11" s="4">
        <v>0.29999999999999999</v>
      </c>
    </row>
    <row r="12">
      <c r="A12" t="s">
        <v>23</v>
      </c>
      <c r="B12" s="4">
        <f t="shared" ref="B12:B13" si="1">C11</f>
        <v>1.5</v>
      </c>
      <c r="C12" s="4">
        <f>+B12+3</f>
        <v>4.5</v>
      </c>
      <c r="D12" s="4">
        <f t="shared" si="0"/>
        <v>3</v>
      </c>
      <c r="E12" s="5">
        <v>15000</v>
      </c>
      <c r="F12" s="4">
        <v>0.29999999999999999</v>
      </c>
    </row>
    <row r="13">
      <c r="A13" t="s">
        <v>24</v>
      </c>
      <c r="B13" s="4">
        <f t="shared" si="1"/>
        <v>4.5</v>
      </c>
      <c r="C13" s="4">
        <f>B13+5</f>
        <v>9.5</v>
      </c>
      <c r="D13" s="4">
        <f t="shared" si="0"/>
        <v>5</v>
      </c>
      <c r="E13" s="5">
        <v>40000</v>
      </c>
      <c r="F13" s="4">
        <v>0.25</v>
      </c>
    </row>
    <row r="19">
      <c r="B19" s="3" t="s">
        <v>13</v>
      </c>
      <c r="C19" s="3" t="s">
        <v>14</v>
      </c>
    </row>
    <row r="20">
      <c r="A20" s="3" t="s">
        <v>15</v>
      </c>
      <c r="B20" s="2" t="s">
        <v>2</v>
      </c>
      <c r="C20" s="2" t="s">
        <v>2</v>
      </c>
      <c r="D20" s="2" t="s">
        <v>16</v>
      </c>
      <c r="E20" s="2" t="s">
        <v>17</v>
      </c>
      <c r="F20" s="2" t="s">
        <v>18</v>
      </c>
      <c r="G20" s="2" t="s">
        <v>17</v>
      </c>
      <c r="H20" s="2" t="s">
        <v>19</v>
      </c>
      <c r="I20" s="2" t="s">
        <v>20</v>
      </c>
      <c r="J20" s="2" t="s">
        <v>21</v>
      </c>
    </row>
    <row r="21">
      <c r="A21" s="3">
        <f t="shared" ref="A21:A23" si="2">$B$4/$B$3</f>
        <v>1.25</v>
      </c>
      <c r="B21" s="6">
        <f t="shared" ref="B21:B23" si="3">2*B11/$B$3</f>
        <v>1.0000000000000001e-05</v>
      </c>
      <c r="C21" s="6">
        <f t="shared" ref="C21:C23" si="4">2*C11/$B$3</f>
        <v>1.5</v>
      </c>
      <c r="D21" s="7">
        <f t="shared" ref="D21:D23" si="5">(1/PI())*(LN((SQRT(1+A21^2+B21^2)+A21)/(SQRT(1+A21^2+B21^2)-A21))+A21*LN((SQRT(1+A21^2+B21^2)+1)/(SQRT(1+A21^2+B21^2))-1))</f>
        <v>0.47971573691567909</v>
      </c>
      <c r="E21" s="2">
        <f t="shared" ref="E21:E23" si="6">(B21/PI())*ATAN(RADIANS(A21/(B21*SQRT(1+A21^2+B21^2))))</f>
        <v>4.9976644207628139e-06</v>
      </c>
      <c r="F21" s="7">
        <f t="shared" ref="F21:F23" si="7">(1/PI())*(LN((SQRT(1+A21^2+C21^2)+A21)/(SQRT(1+A21^2+C21^2)-A21))+A21*LN((SQRT(1+A21^2+C21^2)+1)/(SQRT(1+A21^2+C21^2))-1))</f>
        <v>0.099456364356962021</v>
      </c>
      <c r="G21" s="2">
        <f t="shared" ref="G21:G23" si="8">(C21/PI())*ATAN(RADIANS(A21/(C21*SQRT(1+A21^2+C21^2))))</f>
        <v>0.0031655251872356304</v>
      </c>
      <c r="H21">
        <f t="shared" ref="H21:H23" si="9">($B$5*$B$3/E11)*((1-F11^2)*D21-(1-F11-2*F11^2)*E21)</f>
        <v>0.013096161654233076</v>
      </c>
      <c r="I21" s="8">
        <f t="shared" ref="I21:I23" si="10">($B$5*$B$3/E11)*((1-F11^2)*F21-(1-F11-2*F11^2)*G21)</f>
        <v>0.0026657765540241871</v>
      </c>
      <c r="J21">
        <f t="shared" ref="J21:J23" si="11">I21-H21</f>
        <v>-0.010430385100208888</v>
      </c>
    </row>
    <row r="22">
      <c r="A22" s="3">
        <f t="shared" si="2"/>
        <v>1.25</v>
      </c>
      <c r="B22" s="6">
        <f t="shared" si="3"/>
        <v>1.5</v>
      </c>
      <c r="C22" s="6">
        <f t="shared" si="4"/>
        <v>4.5</v>
      </c>
      <c r="D22" s="7">
        <f t="shared" si="5"/>
        <v>0.099456364356962021</v>
      </c>
      <c r="E22" s="2">
        <f t="shared" si="6"/>
        <v>0.0031655251872356304</v>
      </c>
      <c r="F22" s="7">
        <f t="shared" si="7"/>
        <v>-0.45157896603229147</v>
      </c>
      <c r="G22" s="2">
        <f t="shared" si="8"/>
        <v>0.0014539548411768291</v>
      </c>
      <c r="H22">
        <f t="shared" si="9"/>
        <v>0.0017771843693494584</v>
      </c>
      <c r="I22" s="8">
        <f t="shared" si="10"/>
        <v>-0.008233858312135944</v>
      </c>
      <c r="J22">
        <f t="shared" si="11"/>
        <v>-0.010011042681485402</v>
      </c>
    </row>
    <row r="23">
      <c r="A23" s="3">
        <f t="shared" si="2"/>
        <v>1.25</v>
      </c>
      <c r="B23" s="6">
        <f t="shared" si="3"/>
        <v>4.5</v>
      </c>
      <c r="C23" s="6">
        <f t="shared" si="4"/>
        <v>9.5</v>
      </c>
      <c r="D23" s="7">
        <f t="shared" si="5"/>
        <v>-0.45157896603229147</v>
      </c>
      <c r="E23" s="2">
        <f t="shared" si="6"/>
        <v>0.0014539548411768291</v>
      </c>
      <c r="F23" s="7">
        <f t="shared" si="7"/>
        <v>-0.81826094291968487</v>
      </c>
      <c r="G23" s="2">
        <f t="shared" si="8"/>
        <v>0.00072083234205192544</v>
      </c>
      <c r="H23">
        <f t="shared" si="9"/>
        <v>-0.0031819800182325661</v>
      </c>
      <c r="I23" s="8">
        <f t="shared" si="10"/>
        <v>-0.0057567761565074024</v>
      </c>
      <c r="J23">
        <f t="shared" si="11"/>
        <v>-0.0025747961382748363</v>
      </c>
    </row>
    <row r="24">
      <c r="A24" s="2"/>
      <c r="B24" s="2"/>
      <c r="C24" s="2"/>
      <c r="D24" s="2"/>
      <c r="E24" s="2"/>
    </row>
    <row r="25" ht="14.25">
      <c r="J25">
        <f>SUM(J21:J23)</f>
        <v>-0.023016223919969128</v>
      </c>
    </row>
  </sheetData>
  <mergeCells count="1">
    <mergeCell ref="B9:D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López Pineda</dc:creator>
  <cp:revision>3</cp:revision>
  <dcterms:created xsi:type="dcterms:W3CDTF">2015-06-05T18:19:34Z</dcterms:created>
  <dcterms:modified xsi:type="dcterms:W3CDTF">2026-10-24T15:56:40Z</dcterms:modified>
</cp:coreProperties>
</file>